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chsupport\Documents\GitHub\live-prices\"/>
    </mc:Choice>
  </mc:AlternateContent>
  <xr:revisionPtr revIDLastSave="0" documentId="13_ncr:1_{D52C453F-25FF-40A3-A2F5-26286E7F17E0}" xr6:coauthVersionLast="47" xr6:coauthVersionMax="47" xr10:uidLastSave="{00000000-0000-0000-0000-000000000000}"/>
  <bookViews>
    <workbookView xWindow="-108" yWindow="-108" windowWidth="23256" windowHeight="12456" xr2:uid="{E2BE2BCF-E914-407A-8B63-14456AB7C56A}"/>
  </bookViews>
  <sheets>
    <sheet name="Лист1" sheetId="1" r:id="rId1"/>
    <sheet name="Лист2" sheetId="2" r:id="rId2"/>
    <sheet name="Лист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E34" i="1"/>
  <c r="D34" i="1"/>
  <c r="C34" i="1"/>
  <c r="C36" i="1"/>
  <c r="C35" i="1"/>
  <c r="C33" i="1"/>
  <c r="G10" i="1"/>
  <c r="H33" i="1"/>
  <c r="H32" i="1"/>
  <c r="H31" i="1"/>
  <c r="H30" i="1"/>
  <c r="H29" i="1"/>
  <c r="H28" i="1"/>
  <c r="H27" i="1"/>
  <c r="H26" i="1"/>
  <c r="H25" i="1"/>
  <c r="H24" i="1"/>
  <c r="G33" i="1"/>
  <c r="G32" i="1"/>
  <c r="G31" i="1"/>
  <c r="G30" i="1"/>
  <c r="G29" i="1"/>
  <c r="G28" i="1"/>
  <c r="G27" i="1"/>
  <c r="G26" i="1"/>
  <c r="G25" i="1"/>
  <c r="G24" i="1"/>
  <c r="F33" i="1"/>
  <c r="F32" i="1"/>
  <c r="F31" i="1"/>
  <c r="F30" i="1"/>
  <c r="F29" i="1"/>
  <c r="F28" i="1"/>
  <c r="F27" i="1"/>
  <c r="F26" i="1"/>
  <c r="F25" i="1"/>
  <c r="E33" i="1"/>
  <c r="E32" i="1"/>
  <c r="E31" i="1"/>
  <c r="E30" i="1"/>
  <c r="E29" i="1"/>
  <c r="E28" i="1"/>
  <c r="E27" i="1"/>
  <c r="E26" i="1"/>
  <c r="E25" i="1"/>
  <c r="E22" i="1"/>
  <c r="E21" i="1"/>
  <c r="E19" i="1"/>
  <c r="E17" i="1"/>
  <c r="E16" i="1"/>
  <c r="E15" i="1"/>
  <c r="E13" i="1"/>
  <c r="F12" i="1"/>
  <c r="E12" i="1"/>
  <c r="E11" i="1"/>
  <c r="D33" i="1"/>
  <c r="D32" i="1"/>
  <c r="D31" i="1"/>
  <c r="D30" i="1"/>
  <c r="D29" i="1"/>
  <c r="D28" i="1"/>
  <c r="D27" i="1"/>
  <c r="D26" i="1"/>
  <c r="D25" i="1"/>
  <c r="C32" i="1"/>
  <c r="C31" i="1"/>
  <c r="C30" i="1"/>
  <c r="C29" i="1"/>
  <c r="C28" i="1"/>
  <c r="C27" i="1"/>
  <c r="C26" i="1"/>
  <c r="C25" i="1"/>
  <c r="C22" i="1"/>
  <c r="H11" i="1"/>
  <c r="G11" i="1"/>
  <c r="F11" i="1"/>
  <c r="D11" i="1"/>
  <c r="C11" i="1"/>
  <c r="H16" i="1"/>
  <c r="G16" i="1"/>
  <c r="F16" i="1"/>
  <c r="D16" i="1"/>
  <c r="C16" i="1"/>
  <c r="H17" i="1"/>
  <c r="G17" i="1"/>
  <c r="F17" i="1"/>
  <c r="D17" i="1"/>
  <c r="C17" i="1"/>
  <c r="H22" i="1"/>
  <c r="G22" i="1"/>
  <c r="F22" i="1"/>
  <c r="D22" i="1"/>
  <c r="H21" i="1"/>
  <c r="G21" i="1"/>
  <c r="F19" i="1"/>
  <c r="F21" i="1"/>
  <c r="D21" i="1"/>
  <c r="C21" i="1"/>
  <c r="H19" i="1"/>
  <c r="G19" i="1"/>
  <c r="E7" i="1"/>
  <c r="F7" i="1"/>
  <c r="D19" i="1"/>
  <c r="C19" i="1"/>
  <c r="H7" i="1"/>
  <c r="G7" i="1"/>
  <c r="D7" i="1"/>
  <c r="C7" i="1"/>
  <c r="H13" i="1"/>
  <c r="G13" i="1"/>
  <c r="F13" i="1"/>
  <c r="D13" i="1"/>
  <c r="C13" i="1"/>
  <c r="H12" i="1"/>
  <c r="G12" i="1"/>
  <c r="D12" i="1"/>
  <c r="C12" i="1"/>
  <c r="H15" i="1"/>
  <c r="G15" i="1"/>
  <c r="F15" i="1"/>
  <c r="D15" i="1"/>
  <c r="C15" i="1"/>
  <c r="C5" i="1"/>
  <c r="C2" i="1"/>
  <c r="C23" i="1" s="1"/>
  <c r="D2" i="1"/>
  <c r="D9" i="1" s="1"/>
  <c r="F2" i="1"/>
  <c r="F24" i="1" s="1"/>
  <c r="E2" i="1"/>
  <c r="E20" i="1" s="1"/>
  <c r="G2" i="1"/>
  <c r="G9" i="1" s="1"/>
  <c r="H2" i="1"/>
  <c r="H9" i="1" s="1"/>
  <c r="G23" i="1"/>
  <c r="H23" i="1"/>
  <c r="G18" i="1"/>
  <c r="H18" i="1"/>
  <c r="G20" i="1"/>
  <c r="H20" i="1"/>
  <c r="C3" i="1"/>
  <c r="C14" i="1" s="1"/>
  <c r="D3" i="1"/>
  <c r="D14" i="1" s="1"/>
  <c r="F3" i="1"/>
  <c r="F14" i="1" s="1"/>
  <c r="E3" i="1"/>
  <c r="E14" i="1" s="1"/>
  <c r="G3" i="1"/>
  <c r="H3" i="1"/>
  <c r="G14" i="1"/>
  <c r="H14" i="1"/>
  <c r="C8" i="1"/>
  <c r="D8" i="1"/>
  <c r="F8" i="1"/>
  <c r="E8" i="1"/>
  <c r="G8" i="1"/>
  <c r="H8" i="1"/>
  <c r="C4" i="1"/>
  <c r="D4" i="1"/>
  <c r="F4" i="1"/>
  <c r="E4" i="1"/>
  <c r="G4" i="1"/>
  <c r="H4" i="1"/>
  <c r="D5" i="1"/>
  <c r="F5" i="1"/>
  <c r="E5" i="1"/>
  <c r="G5" i="1"/>
  <c r="H5" i="1"/>
  <c r="C6" i="1"/>
  <c r="D6" i="1"/>
  <c r="F6" i="1"/>
  <c r="E6" i="1"/>
  <c r="G6" i="1"/>
  <c r="H6" i="1"/>
  <c r="C10" i="1"/>
  <c r="D10" i="1"/>
  <c r="F10" i="1"/>
  <c r="E10" i="1"/>
  <c r="H10" i="1"/>
  <c r="F23" i="1" l="1"/>
  <c r="F9" i="1"/>
  <c r="F20" i="1"/>
  <c r="F18" i="1"/>
  <c r="E18" i="1"/>
  <c r="E24" i="1"/>
  <c r="E9" i="1"/>
  <c r="E23" i="1"/>
  <c r="C24" i="1"/>
  <c r="C18" i="1"/>
  <c r="C20" i="1"/>
  <c r="C9" i="1"/>
  <c r="D18" i="1"/>
  <c r="D20" i="1"/>
  <c r="D23" i="1"/>
  <c r="D24" i="1"/>
</calcChain>
</file>

<file path=xl/sharedStrings.xml><?xml version="1.0" encoding="utf-8"?>
<sst xmlns="http://schemas.openxmlformats.org/spreadsheetml/2006/main" count="44" uniqueCount="44">
  <si>
    <t>Symbol</t>
  </si>
  <si>
    <t>Bid</t>
  </si>
  <si>
    <t>Ask</t>
  </si>
  <si>
    <t>High</t>
  </si>
  <si>
    <t>Low</t>
  </si>
  <si>
    <t>Time</t>
  </si>
  <si>
    <t>Full</t>
  </si>
  <si>
    <t>GBPUSD</t>
  </si>
  <si>
    <t>USDJPY</t>
  </si>
  <si>
    <t>EURUSD</t>
  </si>
  <si>
    <t>APPLE</t>
  </si>
  <si>
    <t>PLATINUM</t>
  </si>
  <si>
    <t>GOLD GRAM $</t>
  </si>
  <si>
    <t>GOLD TT BAR $</t>
  </si>
  <si>
    <t>GOLD Kilo 99.50 $</t>
  </si>
  <si>
    <t>GOLD Kilo 999.9 $</t>
  </si>
  <si>
    <t>GOLD PER OZ $</t>
  </si>
  <si>
    <t>SILVER PER OZ $</t>
  </si>
  <si>
    <t>GOLD TT BAR IN AED</t>
  </si>
  <si>
    <t>SILVER PER KG $</t>
  </si>
  <si>
    <t>AUDUSD</t>
  </si>
  <si>
    <t>USDCHF</t>
  </si>
  <si>
    <t>USDCAD</t>
  </si>
  <si>
    <t>GBPCHF</t>
  </si>
  <si>
    <t>NZDUSD</t>
  </si>
  <si>
    <t>AUDCAD</t>
  </si>
  <si>
    <t>AUDCHF</t>
  </si>
  <si>
    <t>AUDNZD</t>
  </si>
  <si>
    <t>EURAUD</t>
  </si>
  <si>
    <t>EURCAD</t>
  </si>
  <si>
    <t>ALIBABA</t>
  </si>
  <si>
    <t>GOOGL</t>
  </si>
  <si>
    <t>AMAZON</t>
  </si>
  <si>
    <t>BOEING</t>
  </si>
  <si>
    <t>MICROSOFT</t>
  </si>
  <si>
    <t>MODERNA</t>
  </si>
  <si>
    <t>NETFLIX</t>
  </si>
  <si>
    <t>NVIDIA</t>
  </si>
  <si>
    <t>TESLA</t>
  </si>
  <si>
    <t>US30ROLL</t>
  </si>
  <si>
    <t>US500ROLL</t>
  </si>
  <si>
    <t>US500H6</t>
  </si>
  <si>
    <t>USDINDEXH6</t>
  </si>
  <si>
    <t>GCG6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</si>
</sst>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hh:mm:ss"/>
  </numFmts>
  <fonts count="4" x14ac:knownFonts="1">
    <font>
      <sz val="10"/>
      <name val="Arial Cyr"/>
      <family val="2"/>
      <charset val="204"/>
    </font>
    <font>
      <b/>
      <sz val="26"/>
      <name val="Arial Cyr"/>
      <family val="2"/>
      <charset val="204"/>
    </font>
    <font>
      <sz val="26"/>
      <name val="Arial Cyr"/>
      <family val="2"/>
      <charset val="204"/>
    </font>
    <font>
      <sz val="20"/>
      <name val="Arial Cyr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/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2" fontId="2" fillId="3" borderId="1" xfId="0" applyNumberFormat="1" applyFont="1" applyFill="1" applyBorder="1"/>
    <xf numFmtId="2" fontId="2" fillId="4" borderId="1" xfId="0" applyNumberFormat="1" applyFont="1" applyFill="1" applyBorder="1"/>
    <xf numFmtId="164" fontId="2" fillId="5" borderId="1" xfId="0" applyNumberFormat="1" applyFont="1" applyFill="1" applyBorder="1"/>
    <xf numFmtId="2" fontId="2" fillId="5" borderId="1" xfId="0" applyNumberFormat="1" applyFont="1" applyFill="1" applyBorder="1"/>
    <xf numFmtId="164" fontId="2" fillId="6" borderId="1" xfId="0" applyNumberFormat="1" applyFont="1" applyFill="1" applyBorder="1"/>
    <xf numFmtId="2" fontId="2" fillId="6" borderId="1" xfId="0" applyNumberFormat="1" applyFont="1" applyFill="1" applyBorder="1"/>
    <xf numFmtId="49" fontId="3" fillId="7" borderId="1" xfId="0" applyNumberFormat="1" applyFont="1" applyFill="1" applyBorder="1"/>
    <xf numFmtId="49" fontId="3" fillId="7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/>
    <xf numFmtId="164" fontId="2" fillId="4" borderId="2" xfId="0" applyNumberFormat="1" applyFont="1" applyFill="1" applyBorder="1"/>
    <xf numFmtId="164" fontId="2" fillId="5" borderId="2" xfId="0" applyNumberFormat="1" applyFont="1" applyFill="1" applyBorder="1"/>
    <xf numFmtId="164" fontId="2" fillId="6" borderId="2" xfId="0" applyNumberFormat="1" applyFont="1" applyFill="1" applyBorder="1"/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3" borderId="3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0" fontId="2" fillId="6" borderId="3" xfId="0" applyFont="1" applyFill="1" applyBorder="1"/>
    <xf numFmtId="165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49" fontId="3" fillId="7" borderId="3" xfId="0" applyNumberFormat="1" applyFont="1" applyFill="1" applyBorder="1"/>
    <xf numFmtId="49" fontId="3" fillId="7" borderId="2" xfId="0" applyNumberFormat="1" applyFont="1" applyFill="1" applyBorder="1"/>
    <xf numFmtId="164" fontId="2" fillId="3" borderId="4" xfId="0" applyNumberFormat="1" applyFont="1" applyFill="1" applyBorder="1"/>
    <xf numFmtId="164" fontId="2" fillId="5" borderId="5" xfId="0" applyNumberFormat="1" applyFont="1" applyFill="1" applyBorder="1"/>
    <xf numFmtId="0" fontId="1" fillId="2" borderId="2" xfId="0" applyFont="1" applyFill="1" applyBorder="1" applyAlignment="1">
      <alignment horizontal="right" vertical="center"/>
    </xf>
    <xf numFmtId="164" fontId="2" fillId="4" borderId="3" xfId="0" applyNumberFormat="1" applyFont="1" applyFill="1" applyBorder="1"/>
    <xf numFmtId="164" fontId="2" fillId="4" borderId="6" xfId="0" applyNumberFormat="1" applyFont="1" applyFill="1" applyBorder="1"/>
    <xf numFmtId="49" fontId="3" fillId="7" borderId="0" xfId="0" applyNumberFormat="1" applyFont="1" applyFill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4" ddeTopic="BID">
    <ddeItems>
      <ddeItem name="ALIBABA" advise="1">
        <values>
          <value>
            <val>162.18199999999999</val>
          </value>
        </values>
      </ddeItem>
      <ddeItem name="ALPHABET-A" advise="1">
        <values>
          <value>
            <val>321.74099999999999</val>
          </value>
        </values>
      </ddeItem>
      <ddeItem name="AMAZON" advise="1">
        <values>
          <value>
            <val>230.899</val>
          </value>
        </values>
      </ddeItem>
      <ddeItem name="APPLE" advise="1">
        <values>
          <value>
            <val>246.44499999999999</val>
          </value>
        </values>
      </ddeItem>
      <ddeItem name="AUDCAD" advise="1">
        <values>
          <value>
            <val>0.93372999999999995</val>
          </value>
        </values>
      </ddeItem>
      <ddeItem name="AUDCHF" advise="1">
        <values>
          <value>
            <val>0.53420999999999996</val>
          </value>
        </values>
      </ddeItem>
      <ddeItem name="AUDNZD" advise="1">
        <values>
          <value>
            <val>1.15388</val>
          </value>
        </values>
      </ddeItem>
      <ddeItem name="AUDUSD" advise="1">
        <values>
          <value>
            <val>0.67513999999999996</val>
          </value>
        </values>
      </ddeItem>
      <ddeItem name="BOEING" advise="1">
        <values>
          <value>
            <val>248.68</val>
          </value>
        </values>
      </ddeItem>
      <ddeItem name="EURAUD" advise="1">
        <values>
          <value>
            <val>1.7354099999999999</val>
          </value>
        </values>
      </ddeItem>
      <ddeItem name="EURCAD" advise="1">
        <values>
          <value>
            <val>1.62066</val>
          </value>
        </values>
      </ddeItem>
      <ddeItem name="EURUSD" advise="1">
        <values>
          <value>
            <val>1.17187</val>
          </value>
        </values>
      </ddeItem>
      <ddeItem name="GBPCHF" advise="1">
        <values>
          <value>
            <val>1.06368</val>
          </value>
        </values>
      </ddeItem>
      <ddeItem name="GBPUSD" advise="1">
        <values>
          <value>
            <val>1.3442499999999999</val>
          </value>
        </values>
      </ddeItem>
      <ddeItem name="Gold.feb6" advise="1">
        <values>
          <value>
            <val>4835.21</val>
          </value>
        </values>
      </ddeItem>
      <ddeItem name="MICROSOFT" advise="1">
        <values>
          <value>
            <val>454.28500000000003</val>
          </value>
        </values>
      </ddeItem>
      <ddeItem name="MODERNA" advise="1">
        <values>
          <value>
            <val>42.872999999999998</val>
          </value>
        </values>
      </ddeItem>
      <ddeItem name="NETFLIX" advise="1">
        <values>
          <value>
            <val>86.972999999999999</val>
          </value>
        </values>
      </ddeItem>
      <ddeItem name="NVIDIA" advise="1">
        <values>
          <value>
            <val>177.89699999999999</val>
          </value>
        </values>
      </ddeItem>
      <ddeItem name="NZDUSD" advise="1">
        <values>
          <value>
            <val>0.58494000000000002</val>
          </value>
        </values>
      </ddeItem>
      <ddeItem name="StdDocumentName" ole="1" advise="1"/>
      <ddeItem name="TESLA" advise="1">
        <values>
          <value>
            <val>419.03199999999998</val>
          </value>
        </values>
      </ddeItem>
      <ddeItem name="US30.CASH" advise="1">
        <values>
          <value>
            <val>48589.16</val>
          </value>
        </values>
      </ddeItem>
      <ddeItem name="US500.CASH" advise="1">
        <values>
          <value>
            <val>6821.93</val>
          </value>
        </values>
      </ddeItem>
      <ddeItem name="US500.MAR6" advise="1">
        <values>
          <value>
            <val>6855.61</val>
          </value>
        </values>
      </ddeItem>
      <ddeItem name="USDCAD" advise="1">
        <values>
          <value>
            <val>1.3830499999999999</val>
          </value>
        </values>
      </ddeItem>
      <ddeItem name="USDCHF" advise="1">
        <values>
          <value>
            <val>0.79129000000000005</val>
          </value>
        </values>
      </ddeItem>
      <ddeItem name="USDJPY" advise="1">
        <values>
          <value>
            <val>158.02600000000001</val>
          </value>
        </values>
      </ddeItem>
      <ddeItem name="USNDX.MAR6" advise="1">
        <values>
          <value>
            <val>25240.77</val>
          </value>
        </values>
      </ddeItem>
      <ddeItem name="XAGUSD" advise="1">
        <values>
          <value>
            <val>94.453999999999994</val>
          </value>
        </values>
      </ddeItem>
      <ddeItem name="XAUUSD" advise="1">
        <values>
          <value>
            <val>4832.6000000000004</val>
          </value>
        </values>
      </ddeItem>
      <ddeItem name="XPTUSD" advise="1">
        <values>
          <value>
            <val>2442.62</val>
          </value>
        </values>
      </ddeItem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4" ddeTopic="ASK">
    <ddeItems>
      <ddeItem name="ALIBABA" advise="1">
        <values>
          <value>
            <val>162.47800000000001</val>
          </value>
        </values>
      </ddeItem>
      <ddeItem name="ALPHABET-A" advise="1">
        <values>
          <value>
            <val>322.09100000000001</val>
          </value>
        </values>
      </ddeItem>
      <ddeItem name="AMAZON" advise="1">
        <values>
          <value>
            <val>231.279</val>
          </value>
        </values>
      </ddeItem>
      <ddeItem name="APPLE" advise="1">
        <values>
          <value>
            <val>246.905</val>
          </value>
        </values>
      </ddeItem>
      <ddeItem name="AUDCAD" advise="1">
        <values>
          <value>
            <val>0.93405000000000005</val>
          </value>
        </values>
      </ddeItem>
      <ddeItem name="AUDCHF" advise="1">
        <values>
          <value>
            <val>0.53449999999999998</val>
          </value>
        </values>
      </ddeItem>
      <ddeItem name="AUDNZD" advise="1">
        <values>
          <value>
            <val>1.1544099999999999</val>
          </value>
        </values>
      </ddeItem>
      <ddeItem name="AUDUSD" advise="1">
        <values>
          <value>
            <val>0.67530000000000001</val>
          </value>
        </values>
      </ddeItem>
      <ddeItem name="BOEING" advise="1">
        <values>
          <value>
            <val>249.09</val>
          </value>
        </values>
      </ddeItem>
      <ddeItem name="EURAUD" advise="1">
        <values>
          <value>
            <val>1.7357800000000001</val>
          </value>
        </values>
      </ddeItem>
      <ddeItem name="EURCAD" advise="1">
        <values>
          <value>
            <val>1.6211</val>
          </value>
        </values>
      </ddeItem>
      <ddeItem name="EURUSD" advise="1">
        <values>
          <value>
            <val>1.1719599999999999</val>
          </value>
        </values>
      </ddeItem>
      <ddeItem name="GBPCHF" advise="1">
        <values>
          <value>
            <val>1.06412</val>
          </value>
        </values>
      </ddeItem>
      <ddeItem name="GBPUSD" advise="1">
        <values>
          <value>
            <val>1.3444</val>
          </value>
        </values>
      </ddeItem>
      <ddeItem name="GOLD.FEB6" advise="1">
        <values>
          <value>
            <val>4835.68</val>
          </value>
        </values>
      </ddeItem>
      <ddeItem name="MICROSOFT" advise="1">
        <values>
          <value>
            <val>454.86500000000001</val>
          </value>
        </values>
      </ddeItem>
      <ddeItem name="MODERNA" advise="1">
        <values>
          <value>
            <val>43.137</val>
          </value>
        </values>
      </ddeItem>
      <ddeItem name="NETFLIX" advise="1">
        <values>
          <value>
            <val>87.263000000000005</val>
          </value>
        </values>
      </ddeItem>
      <ddeItem name="NVIDIA" advise="1">
        <values>
          <value>
            <val>178.18700000000001</val>
          </value>
        </values>
      </ddeItem>
      <ddeItem name="NZDUSD" advise="1">
        <values>
          <value>
            <val>0.58518000000000003</val>
          </value>
        </values>
      </ddeItem>
      <ddeItem name="StdDocumentName" ole="1" advise="1"/>
      <ddeItem name="TESLA" advise="1">
        <values>
          <value>
            <val>419.392</val>
          </value>
        </values>
      </ddeItem>
      <ddeItem name="US30.CASH" advise="1">
        <values>
          <value>
            <val>48591.18</val>
          </value>
        </values>
      </ddeItem>
      <ddeItem name="US500.CASH" advise="1">
        <values>
          <value>
            <val>6822.46</val>
          </value>
        </values>
      </ddeItem>
      <ddeItem name="US500.MAR6" advise="1">
        <values>
          <value>
            <val>6856.73</val>
          </value>
        </values>
      </ddeItem>
      <ddeItem name="USDCAD" advise="1">
        <values>
          <value>
            <val>1.3832800000000001</val>
          </value>
        </values>
      </ddeItem>
      <ddeItem name="USDCHF" advise="1">
        <values>
          <value>
            <val>0.79149000000000003</val>
          </value>
        </values>
      </ddeItem>
      <ddeItem name="USDJPY" advise="1">
        <values>
          <value>
            <val>158.035</val>
          </value>
        </values>
      </ddeItem>
      <ddeItem name="USNDX.MAR6" advise="1">
        <values>
          <value>
            <val>25243.040000000001</val>
          </value>
        </values>
      </ddeItem>
      <ddeItem name="XAGUSD" advise="1">
        <values>
          <value>
            <val>94.497</val>
          </value>
        </values>
      </ddeItem>
      <ddeItem name="XAUUSD" advise="1">
        <values>
          <value>
            <val>4833</val>
          </value>
        </values>
      </ddeItem>
      <ddeItem name="XPTUSD" advise="1">
        <values>
          <value>
            <val>2453</val>
          </value>
        </values>
      </ddeItem>
    </ddeItems>
  </dd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4" ddeTopic="LOW">
    <ddeItems>
      <ddeItem name="ALIBABA" advise="1">
        <values>
          <value>
            <val>160.78399999999999</val>
          </value>
        </values>
      </ddeItem>
      <ddeItem name="ALPHABET-A" advise="1">
        <values>
          <value>
            <val>317.435</val>
          </value>
        </values>
      </ddeItem>
      <ddeItem name="AMAZON" advise="1">
        <values>
          <value>
            <val>229.167</val>
          </value>
        </values>
      </ddeItem>
      <ddeItem name="APPLE" advise="1">
        <values>
          <value>
            <val>243.279</val>
          </value>
        </values>
      </ddeItem>
      <ddeItem name="AUDCAD" advise="1">
        <values>
          <value>
            <val>0.93088000000000004</val>
          </value>
        </values>
      </ddeItem>
      <ddeItem name="AUDCHF" advise="1">
        <values>
          <value>
            <val>0.53144999999999998</val>
          </value>
        </values>
      </ddeItem>
      <ddeItem name="AUDNZD" advise="1">
        <values>
          <value>
            <val>1.1532199999999999</val>
          </value>
        </values>
      </ddeItem>
      <ddeItem name="AUDUSD" advise="1">
        <values>
          <value>
            <val>0.67266999999999999</val>
          </value>
        </values>
      </ddeItem>
      <ddeItem name="BOEING" advise="1">
        <values>
          <value>
            <val>242.87</val>
          </value>
        </values>
      </ddeItem>
      <ddeItem name="EURAUD" advise="1">
        <values>
          <value>
            <val>1.7347999999999999</val>
          </value>
        </values>
      </ddeItem>
      <ddeItem name="EURCAD" advise="1">
        <values>
          <value>
            <val>1.6202399999999999</val>
          </value>
        </values>
      </ddeItem>
      <ddeItem name="EURUSD" advise="1">
        <values>
          <value>
            <val>1.1709499999999999</val>
          </value>
        </values>
      </ddeItem>
      <ddeItem name="GBPCHF" advise="1">
        <values>
          <value>
            <val>1.0610200000000001</val>
          </value>
        </values>
      </ddeItem>
      <ddeItem name="GBPUSD" advise="1">
        <values>
          <value>
            <val>1.3428800000000001</val>
          </value>
        </values>
      </ddeItem>
      <ddeItem name="Gold.feb6" advise="1">
        <values>
          <value>
            <val>4774.3599999999997</val>
          </value>
        </values>
      </ddeItem>
      <ddeItem name="MICROSOFT" advise="1">
        <values>
          <value>
            <val>445.35300000000001</val>
          </value>
        </values>
      </ddeItem>
      <ddeItem name="MODERNA" advise="1">
        <values>
          <value>
            <val>40.781999999999996</val>
          </value>
        </values>
      </ddeItem>
      <ddeItem name="NETFLIX" advise="1">
        <values>
          <value>
            <val>86.891999999999996</val>
          </value>
        </values>
      </ddeItem>
      <ddeItem name="NVIDIA" advise="1">
        <values>
          <value>
            <val>177.535</val>
          </value>
        </values>
      </ddeItem>
      <ddeItem name="StdDocumentName" ole="1" advise="1"/>
      <ddeItem name="TESLA" advise="1">
        <values>
          <value>
            <val>417.29199999999997</val>
          </value>
        </values>
      </ddeItem>
      <ddeItem name="US30.CASH" advise="1">
        <values>
          <value>
            <val>48515.16</val>
          </value>
        </values>
      </ddeItem>
      <ddeItem name="US500.CASH" advise="1">
        <values>
          <value>
            <val>6798.96</val>
          </value>
        </values>
      </ddeItem>
      <ddeItem name="US500.MAR6" advise="1">
        <values>
          <value>
            <val>6832.54</val>
          </value>
        </values>
      </ddeItem>
      <ddeItem name="USDCHF" advise="1">
        <values>
          <value>
            <val>0.78886999999999996</val>
          </value>
        </values>
      </ddeItem>
      <ddeItem name="USDJPY" advise="1">
        <values>
          <value>
            <val>157.85400000000001</val>
          </value>
        </values>
      </ddeItem>
      <ddeItem name="USNDX.MAR6" advise="1">
        <values>
          <value>
            <val>25117.49</val>
          </value>
        </values>
      </ddeItem>
      <ddeItem name="XAGUSD" advise="1">
        <values>
          <value>
            <val>93.344999999999999</val>
          </value>
        </values>
      </ddeItem>
      <ddeItem name="XAUUSD" advise="1">
        <values>
          <value>
            <val>4770.58</val>
          </value>
        </values>
      </ddeItem>
      <ddeItem name="XPTUSD" advise="1">
        <values>
          <value>
            <val>2413.29</val>
          </value>
        </values>
      </ddeItem>
    </ddeItems>
  </ddeLin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4" ddeTopic="HIGH">
    <ddeItems>
      <ddeItem name="ALIBABA" advise="1">
        <values>
          <value>
            <val>165.953</val>
          </value>
        </values>
      </ddeItem>
      <ddeItem name="ALPHABET-A" advise="1">
        <values>
          <value>
            <val>327.56099999999998</val>
          </value>
        </values>
      </ddeItem>
      <ddeItem name="AMAZON" advise="1">
        <values>
          <value>
            <val>234.94300000000001</val>
          </value>
        </values>
      </ddeItem>
      <ddeItem name="APPLE" advise="1">
        <values>
          <value>
            <val>254.614</val>
          </value>
        </values>
      </ddeItem>
      <ddeItem name="AUDCAD" advise="1">
        <values>
          <value>
            <val>0.93384999999999996</val>
          </value>
        </values>
      </ddeItem>
      <ddeItem name="AUDCHF" advise="1">
        <values>
          <value>
            <val>0.53447</val>
          </value>
        </values>
      </ddeItem>
      <ddeItem name="AUDNZD" advise="1">
        <values>
          <value>
            <val>1.15611</val>
          </value>
        </values>
      </ddeItem>
      <ddeItem name="AUDUSD" advise="1">
        <values>
          <value>
            <val>0.67523</val>
          </value>
        </values>
      </ddeItem>
      <ddeItem name="BOEING" advise="1">
        <values>
          <value>
            <val>249.38200000000001</val>
          </value>
        </values>
      </ddeItem>
      <ddeItem name="EURAUD" advise="1">
        <values>
          <value>
            <val>1.7418100000000001</val>
          </value>
        </values>
      </ddeItem>
      <ddeItem name="EURCAD" advise="1">
        <values>
          <value>
            <val>1.6222300000000001</val>
          </value>
        </values>
      </ddeItem>
      <ddeItem name="EURUSD" advise="1">
        <values>
          <value>
            <val>1.1733899999999999</val>
          </value>
        </values>
      </ddeItem>
      <ddeItem name="F11USDCAD" advise="1">
        <values>
          <value t="str">
            <val>N\A</val>
          </value>
        </values>
      </ddeItem>
      <ddeItem name="GBPCHF" advise="1">
        <values>
          <value>
            <val>1.06375</val>
          </value>
        </values>
      </ddeItem>
      <ddeItem name="GBPUSD" advise="1">
        <values>
          <value>
            <val>1.34558</val>
          </value>
        </values>
      </ddeItem>
      <ddeItem name="Gold.feb6" advise="1">
        <values>
          <value>
            <val>4890.46</val>
          </value>
        </values>
      </ddeItem>
      <ddeItem name="MICROSOFT" advise="1">
        <values>
          <value>
            <val>456.61599999999999</val>
          </value>
        </values>
      </ddeItem>
      <ddeItem name="MODERNA" advise="1">
        <values>
          <value>
            <val>42.884</val>
          </value>
        </values>
      </ddeItem>
      <ddeItem name="NETFLIX" advise="1">
        <values>
          <value>
            <val>89.745999999999995</val>
          </value>
        </values>
      </ddeItem>
      <ddeItem name="NVIDIA" advise="1">
        <values>
          <value>
            <val>182.17599999999999</val>
          </value>
        </values>
      </ddeItem>
      <ddeItem name="NZDUSD" advise="1">
        <values>
          <value>
            <val>0.58499999999999996</val>
          </value>
        </values>
      </ddeItem>
      <ddeItem name="StdDocumentName" ole="1" advise="1"/>
      <ddeItem name="TESLA" advise="1">
        <values>
          <value>
            <val>430.17700000000002</val>
          </value>
        </values>
      </ddeItem>
      <ddeItem name="us30.cash" advise="1">
        <values>
          <value>
            <val>48605.27</val>
          </value>
        </values>
      </ddeItem>
      <ddeItem name="US500.CASH" advise="1">
        <values>
          <value>
            <val>6822.42</val>
          </value>
        </values>
      </ddeItem>
      <ddeItem name="US500.MAR6" advise="1">
        <values>
          <value>
            <val>6856.08</val>
          </value>
        </values>
      </ddeItem>
      <ddeItem name="USDCAD" advise="1">
        <values>
          <value>
            <val>1.3839600000000001</val>
          </value>
        </values>
      </ddeItem>
      <ddeItem name="USDCHF" advise="1">
        <values>
          <value>
            <val>0.79178999999999999</val>
          </value>
        </values>
      </ddeItem>
      <ddeItem name="USDJPY" advise="1">
        <values>
          <value>
            <val>158.27699999999999</val>
          </value>
        </values>
      </ddeItem>
      <ddeItem name="USNDX.MAR6" advise="1">
        <values>
          <value>
            <val>25243.42</val>
          </value>
        </values>
      </ddeItem>
      <ddeItem name="XAGUSD" advise="1">
        <values>
          <value>
            <val>95.55</val>
          </value>
        </values>
      </ddeItem>
      <ddeItem name="XAUUSD" advise="1">
        <values>
          <value>
            <val>4888.16</val>
          </value>
        </values>
      </ddeItem>
      <ddeItem name="XPTUSD" advise="1">
        <values>
          <value>
            <val>2514.64</val>
          </value>
        </values>
      </ddeItem>
    </ddeItems>
  </ddeLin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4" ddeTopic="TIMESEC">
    <ddeItems>
      <ddeItem name="ALIBABA" advise="1">
        <values>
          <value>
            <val>46042.874988425923</val>
          </value>
        </values>
      </ddeItem>
      <ddeItem name="ALPHABET-A" advise="1">
        <values>
          <value>
            <val>46042.874988425923</val>
          </value>
        </values>
      </ddeItem>
      <ddeItem name="AMAZON" advise="1">
        <values>
          <value>
            <val>46042.874988425923</val>
          </value>
        </values>
      </ddeItem>
      <ddeItem name="APPLE" advise="1">
        <values>
          <value>
            <val>46042.874988425923</val>
          </value>
        </values>
      </ddeItem>
      <ddeItem name="AUDCAD" advise="1">
        <values>
          <value>
            <val>46043.305844907409</val>
          </value>
        </values>
      </ddeItem>
      <ddeItem name="AUDCHF" advise="1">
        <values>
          <value>
            <val>46043.306064814817</val>
          </value>
        </values>
      </ddeItem>
      <ddeItem name="AUDNZD" advise="1">
        <values>
          <value>
            <val>46043.305949074071</val>
          </value>
        </values>
      </ddeItem>
      <ddeItem name="AUDUSD" advise="1">
        <values>
          <value>
            <val>46043.306030092594</val>
          </value>
        </values>
      </ddeItem>
      <ddeItem name="BOEING" advise="1">
        <values>
          <value>
            <val>46042.874988425923</val>
          </value>
        </values>
      </ddeItem>
      <ddeItem name="EURAUD" advise="1">
        <values>
          <value>
            <val>46043.306076388886</val>
          </value>
        </values>
      </ddeItem>
      <ddeItem name="EURCAD" advise="1">
        <values>
          <value>
            <val>46043.306076388886</val>
          </value>
        </values>
      </ddeItem>
      <ddeItem name="EURUSD" advise="1">
        <values>
          <value>
            <val>46043.306076388886</val>
          </value>
        </values>
      </ddeItem>
      <ddeItem name="GBPCHF" advise="1">
        <values>
          <value>
            <val>46043.306076388886</val>
          </value>
        </values>
      </ddeItem>
      <ddeItem name="GBPUSD" advise="1">
        <values>
          <value>
            <val>46043.306064814817</val>
          </value>
        </values>
      </ddeItem>
      <ddeItem name="Gold.feb6" advise="1">
        <values>
          <value>
            <val>46043.306064814817</val>
          </value>
        </values>
      </ddeItem>
      <ddeItem name="MICROSOFT" advise="1">
        <values>
          <value>
            <val>46042.874988425923</val>
          </value>
        </values>
      </ddeItem>
      <ddeItem name="MODERNA" advise="1">
        <values>
          <value>
            <val>46042.874988425923</val>
          </value>
        </values>
      </ddeItem>
      <ddeItem name="NETFLIX" advise="1">
        <values>
          <value>
            <val>46042.874988425923</val>
          </value>
        </values>
      </ddeItem>
      <ddeItem name="NVIDIA" advise="1">
        <values>
          <value>
            <val>46042.874988425923</val>
          </value>
        </values>
      </ddeItem>
      <ddeItem name="NZDUSD" advise="1">
        <values>
          <value>
            <val>46043.30605324074</val>
          </value>
        </values>
      </ddeItem>
      <ddeItem name="StdDocumentName" ole="1" advise="1"/>
      <ddeItem name="TESLA" advise="1">
        <values>
          <value>
            <val>46042.874988425923</val>
          </value>
        </values>
      </ddeItem>
      <ddeItem name="us30.cash" advise="1">
        <values>
          <value>
            <val>46043.306076388886</val>
          </value>
        </values>
      </ddeItem>
      <ddeItem name="US500.CASH" advise="1">
        <values>
          <value>
            <val>46043.306076388886</val>
          </value>
        </values>
      </ddeItem>
      <ddeItem name="US500.MAR6" advise="1">
        <values>
          <value>
            <val>46043.306076388886</val>
          </value>
        </values>
      </ddeItem>
      <ddeItem name="USDCAD" advise="1">
        <values>
          <value>
            <val>46043.306064814817</val>
          </value>
        </values>
      </ddeItem>
      <ddeItem name="USDCHF" advise="1">
        <values>
          <value>
            <val>46043.306006944447</val>
          </value>
        </values>
      </ddeItem>
      <ddeItem name="USDJPY" advise="1">
        <values>
          <value>
            <val>46043.306076388886</val>
          </value>
        </values>
      </ddeItem>
      <ddeItem name="USNDX.MAR6" advise="1">
        <values>
          <value>
            <val>46043.306064814817</val>
          </value>
        </values>
      </ddeItem>
      <ddeItem name="XAGUSD" advise="1">
        <values>
          <value>
            <val>46043.306076388886</val>
          </value>
        </values>
      </ddeItem>
      <ddeItem name="XAUUSD" advise="1">
        <values>
          <value>
            <val>46043.306064814817</val>
          </value>
        </values>
      </ddeItem>
    </ddeItems>
  </ddeLin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4" ddeTopic="QUOTE">
    <ddeItems>
      <ddeItem name="ALIBABA" advise="1">
        <values>
          <value t="str">
            <val>2026/01/20 20:59:59 162.182 162.478</val>
          </value>
        </values>
      </ddeItem>
      <ddeItem name="ALPHABET-A" advise="1">
        <values>
          <value t="str">
            <val>2026/01/20 20:59:59 321.741 322.091</val>
          </value>
        </values>
      </ddeItem>
      <ddeItem name="AMAZON" advise="1">
        <values>
          <value t="str">
            <val>2026/01/20 20:59:59 230.899 231.279</val>
          </value>
        </values>
      </ddeItem>
      <ddeItem name="APPLE" advise="1">
        <values>
          <value t="str">
            <val>2026/01/20 20:59:59 246.445 246.905</val>
          </value>
        </values>
      </ddeItem>
      <ddeItem name="AUDCAD" advise="1">
        <values>
          <value t="str">
            <val>2026/01/21 07:20:25 0.93373 0.93405</val>
          </value>
        </values>
      </ddeItem>
      <ddeItem name="AUDCHF" advise="1">
        <values>
          <value t="str">
            <val>2026/01/21 07:20:44 0.53421 0.53450</val>
          </value>
        </values>
      </ddeItem>
      <ddeItem name="AUDNZD" advise="1">
        <values>
          <value t="str">
            <val>2026/01/21 07:20:34 1.15388 1.15441</val>
          </value>
        </values>
      </ddeItem>
      <ddeItem name="AUDUSD" advise="1">
        <values>
          <value t="str">
            <val>2026/01/21 07:20:41 0.67514 0.67530</val>
          </value>
        </values>
      </ddeItem>
      <ddeItem name="BOEING" advise="1">
        <values>
          <value t="str">
            <val>2026/01/20 20:59:59 248.680 249.090</val>
          </value>
        </values>
      </ddeItem>
      <ddeItem name="EURAUD" advise="1">
        <values>
          <value t="str">
            <val>2026/01/21 07:20:45 1.73541 1.73578</val>
          </value>
        </values>
      </ddeItem>
      <ddeItem name="EURCAD" advise="1">
        <values>
          <value t="str">
            <val>2026/01/21 07:20:45 1.62066 1.62110</val>
          </value>
        </values>
      </ddeItem>
      <ddeItem name="EURUSD" advise="1">
        <values>
          <value t="str">
            <val>2026/01/21 07:20:45 1.17187 1.17196</val>
          </value>
        </values>
      </ddeItem>
      <ddeItem name="GBPCHF" advise="1">
        <values>
          <value t="str">
            <val>2026/01/21 07:20:45 1.06368 1.06412</val>
          </value>
        </values>
      </ddeItem>
      <ddeItem name="GBPUSD" advise="1">
        <values>
          <value t="str">
            <val>2026/01/21 07:20:44 1.34425 1.34440</val>
          </value>
        </values>
      </ddeItem>
      <ddeItem name="Gold.feb6" advise="1">
        <values>
          <value t="str">
            <val>2026/01/21 07:20:44 4835.21 4835.68</val>
          </value>
        </values>
      </ddeItem>
      <ddeItem name="MICROSOFT" advise="1">
        <values>
          <value t="str">
            <val>2026/01/20 20:59:59 454.285 454.865</val>
          </value>
        </values>
      </ddeItem>
      <ddeItem name="MODERNA" advise="1">
        <values>
          <value t="str">
            <val>2026/01/20 20:59:59 42.873 43.137</val>
          </value>
        </values>
      </ddeItem>
      <ddeItem name="NETFLIX" advise="1">
        <values>
          <value t="str">
            <val>2026/01/20 20:59:59 86.973 87.263</val>
          </value>
        </values>
      </ddeItem>
      <ddeItem name="NVIDIA" advise="1">
        <values>
          <value t="str">
            <val>2026/01/20 20:59:59 177.897 178.187</val>
          </value>
        </values>
      </ddeItem>
      <ddeItem name="NZDUSD" advise="1">
        <values>
          <value t="str">
            <val>2026/01/21 07:20:43 0.58494 0.58518</val>
          </value>
        </values>
      </ddeItem>
      <ddeItem name="StdDocumentName" ole="1" advise="1"/>
      <ddeItem name="TESLA" advise="1">
        <values>
          <value t="str">
            <val>2026/01/20 20:59:59 419.032 419.392</val>
          </value>
        </values>
      </ddeItem>
      <ddeItem name="US30.CASH" advise="1">
        <values>
          <value t="str">
            <val>2026/01/21 07:20:45 48589.16 48591.18</val>
          </value>
        </values>
      </ddeItem>
      <ddeItem name="US500.CASH" advise="1">
        <values>
          <value t="str">
            <val>2026/01/21 07:20:45 6821.93 6822.46</val>
          </value>
        </values>
      </ddeItem>
      <ddeItem name="US500.MAR6" advise="1">
        <values>
          <value t="str">
            <val>2026/01/21 07:20:45 6855.61 6856.73</val>
          </value>
        </values>
      </ddeItem>
      <ddeItem name="USDCAD" advise="1">
        <values>
          <value t="str">
            <val>2026/01/21 07:20:44 1.38305 1.38328</val>
          </value>
        </values>
      </ddeItem>
      <ddeItem name="USDCHF" advise="1">
        <values>
          <value t="str">
            <val>2026/01/21 07:20:39 0.79129 0.79149</val>
          </value>
        </values>
      </ddeItem>
      <ddeItem name="USDJPY" advise="1">
        <values>
          <value t="str">
            <val>2026/01/21 07:20:45 158.026 158.035</val>
          </value>
        </values>
      </ddeItem>
      <ddeItem name="USNDX.MAR6" advise="1">
        <values>
          <value t="str">
            <val>2026/01/21 07:20:44 25240.77 25243.04</val>
          </value>
        </values>
      </ddeItem>
      <ddeItem name="XAGUSD" advise="1">
        <values>
          <value t="str">
            <val>2026/01/21 07:20:45 94.454 94.497</val>
          </value>
        </values>
      </ddeItem>
      <ddeItem name="XAUUSD" advise="1">
        <values>
          <value t="str">
            <val>2026/01/21 07:20:44 4832.60 4833.00</val>
          </value>
        </values>
      </ddeItem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C1C6-6612-4858-9C46-9028694CCC8C}">
  <dimension ref="A1:H38"/>
  <sheetViews>
    <sheetView tabSelected="1" topLeftCell="A12" zoomScale="55" zoomScaleNormal="55" workbookViewId="0">
      <selection activeCell="D45" sqref="D45"/>
    </sheetView>
  </sheetViews>
  <sheetFormatPr defaultRowHeight="13.2" x14ac:dyDescent="0.25"/>
  <cols>
    <col min="1" max="1" width="0.109375" customWidth="1"/>
    <col min="2" max="2" width="45.44140625" customWidth="1"/>
    <col min="3" max="3" width="36.5546875" customWidth="1"/>
    <col min="4" max="4" width="40.5546875" customWidth="1"/>
    <col min="5" max="5" width="35.88671875" customWidth="1"/>
    <col min="6" max="6" width="28" customWidth="1"/>
    <col min="7" max="7" width="21.44140625" customWidth="1"/>
    <col min="8" max="8" width="58.6640625" customWidth="1"/>
  </cols>
  <sheetData>
    <row r="1" spans="2:8" ht="33" x14ac:dyDescent="0.25">
      <c r="B1" s="1" t="s">
        <v>0</v>
      </c>
      <c r="C1" s="2" t="s">
        <v>1</v>
      </c>
      <c r="D1" s="30" t="s">
        <v>2</v>
      </c>
      <c r="E1" s="2" t="s">
        <v>4</v>
      </c>
      <c r="F1" s="2" t="s">
        <v>3</v>
      </c>
      <c r="G1" s="2" t="s">
        <v>5</v>
      </c>
      <c r="H1" s="2" t="s">
        <v>6</v>
      </c>
    </row>
    <row r="2" spans="2:8" ht="32.4" x14ac:dyDescent="0.55000000000000004">
      <c r="B2" s="13" t="s">
        <v>16</v>
      </c>
      <c r="C2" s="28">
        <f>[1]!XAUUSD</f>
        <v>4832.6000000000004</v>
      </c>
      <c r="D2" s="31">
        <f>[2]!XAUUSD</f>
        <v>4833</v>
      </c>
      <c r="E2" s="10">
        <f>[3]!XAUUSD</f>
        <v>4770.58</v>
      </c>
      <c r="F2" s="29">
        <f>[4]!XAUUSD</f>
        <v>4888.16</v>
      </c>
      <c r="G2" s="4">
        <f>[5]!XAUUSD</f>
        <v>46043.306064814817</v>
      </c>
      <c r="H2" s="5" t="str">
        <f>[6]!XAUUSD</f>
        <v>2026/01/21 07:20:44 4832.60 4833.00</v>
      </c>
    </row>
    <row r="3" spans="2:8" ht="32.4" x14ac:dyDescent="0.55000000000000004">
      <c r="B3" s="13" t="s">
        <v>17</v>
      </c>
      <c r="C3" s="28">
        <f>[1]!XAGUSD</f>
        <v>94.453999999999994</v>
      </c>
      <c r="D3" s="31">
        <f>[2]!XAGUSD</f>
        <v>94.497</v>
      </c>
      <c r="E3" s="10">
        <f>[3]!XAGUSD</f>
        <v>93.344999999999999</v>
      </c>
      <c r="F3" s="29">
        <f>[4]!XAGUSD</f>
        <v>95.55</v>
      </c>
      <c r="G3" s="4">
        <f>[5]!XAGUSD</f>
        <v>46043.306076388886</v>
      </c>
      <c r="H3" s="5" t="str">
        <f>[6]!XAGUSD</f>
        <v>2026/01/21 07:20:45 94.454 94.497</v>
      </c>
    </row>
    <row r="4" spans="2:8" ht="32.4" x14ac:dyDescent="0.55000000000000004">
      <c r="B4" s="12" t="s">
        <v>7</v>
      </c>
      <c r="C4" s="3">
        <f>[1]!GBPUSD</f>
        <v>1.3442499999999999</v>
      </c>
      <c r="D4" s="32">
        <f>[2]!GBPUSD</f>
        <v>1.3444</v>
      </c>
      <c r="E4" s="10">
        <f>[3]!GBPUSD</f>
        <v>1.3428800000000001</v>
      </c>
      <c r="F4" s="8">
        <f>[4]!GBPUSD</f>
        <v>1.34558</v>
      </c>
      <c r="G4" s="4">
        <f>[5]!GBPUSD</f>
        <v>46043.306064814817</v>
      </c>
      <c r="H4" s="5" t="str">
        <f>[6]!GBPUSD</f>
        <v>2026/01/21 07:20:44 1.34425 1.34440</v>
      </c>
    </row>
    <row r="5" spans="2:8" ht="32.4" x14ac:dyDescent="0.55000000000000004">
      <c r="B5" s="12" t="s">
        <v>8</v>
      </c>
      <c r="C5" s="6">
        <f>[1]!USDJPY</f>
        <v>158.02600000000001</v>
      </c>
      <c r="D5" s="7">
        <f>[2]!USDJPY</f>
        <v>158.035</v>
      </c>
      <c r="E5" s="11">
        <f>[3]!USDJPY</f>
        <v>157.85400000000001</v>
      </c>
      <c r="F5" s="9">
        <f>[4]!USDJPY</f>
        <v>158.27699999999999</v>
      </c>
      <c r="G5" s="4">
        <f>[5]!USDJPY</f>
        <v>46043.306076388886</v>
      </c>
      <c r="H5" s="5" t="str">
        <f>[6]!USDJPY</f>
        <v>2026/01/21 07:20:45 158.026 158.035</v>
      </c>
    </row>
    <row r="6" spans="2:8" ht="32.4" x14ac:dyDescent="0.55000000000000004">
      <c r="B6" s="27" t="s">
        <v>9</v>
      </c>
      <c r="C6" s="14">
        <f>[1]!EURUSD</f>
        <v>1.17187</v>
      </c>
      <c r="D6" s="15">
        <f>[2]!EURUSD</f>
        <v>1.1719599999999999</v>
      </c>
      <c r="E6" s="17">
        <f>[3]!EURUSD</f>
        <v>1.1709499999999999</v>
      </c>
      <c r="F6" s="16">
        <f>[4]!EURUSD</f>
        <v>1.1733899999999999</v>
      </c>
      <c r="G6" s="18">
        <f>[5]!EURUSD</f>
        <v>46043.306076388886</v>
      </c>
      <c r="H6" s="19" t="str">
        <f>[6]!EURUSD</f>
        <v>2026/01/21 07:20:45 1.17187 1.17196</v>
      </c>
    </row>
    <row r="7" spans="2:8" ht="32.4" x14ac:dyDescent="0.55000000000000004">
      <c r="B7" s="33" t="s">
        <v>24</v>
      </c>
      <c r="C7">
        <f>[1]!NZDUSD</f>
        <v>0.58494000000000002</v>
      </c>
      <c r="D7" s="35">
        <f>[2]!NZDUSD</f>
        <v>0.58518000000000003</v>
      </c>
      <c r="E7">
        <f>[4]!NZDUSD</f>
        <v>0.58499999999999996</v>
      </c>
      <c r="F7">
        <f>[4]!NZDUSD</f>
        <v>0.58499999999999996</v>
      </c>
      <c r="G7">
        <f>[5]!NZDUSD</f>
        <v>46043.30605324074</v>
      </c>
      <c r="H7" t="str">
        <f>[6]!NZDUSD</f>
        <v>2026/01/21 07:20:43 0.58494 0.58518</v>
      </c>
    </row>
    <row r="8" spans="2:8" ht="32.4" x14ac:dyDescent="0.55000000000000004">
      <c r="B8" s="12" t="s">
        <v>11</v>
      </c>
      <c r="C8" s="28">
        <f>[1]!XPTUSD</f>
        <v>2442.62</v>
      </c>
      <c r="D8" s="31">
        <f>[2]!XPTUSD</f>
        <v>2453</v>
      </c>
      <c r="E8" s="10">
        <f>[3]!XPTUSD</f>
        <v>2413.29</v>
      </c>
      <c r="F8" s="29">
        <f>[4]!XPTUSD</f>
        <v>2514.64</v>
      </c>
      <c r="G8" s="4">
        <f>[5]!XAUUSD</f>
        <v>46043.306064814817</v>
      </c>
      <c r="H8" s="5" t="str">
        <f>[6]!XAUUSD</f>
        <v>2026/01/21 07:20:44 4832.60 4833.00</v>
      </c>
    </row>
    <row r="9" spans="2:8" ht="32.4" x14ac:dyDescent="0.55000000000000004">
      <c r="B9" s="26" t="s">
        <v>18</v>
      </c>
      <c r="C9" s="20">
        <f>C2*3.75*3.67</f>
        <v>66508.657500000001</v>
      </c>
      <c r="D9" s="21">
        <f>D2*3.75*3.67</f>
        <v>66514.162500000006</v>
      </c>
      <c r="E9" s="23">
        <f>E2*3.75*3.67</f>
        <v>65655.107250000001</v>
      </c>
      <c r="F9" s="22">
        <f>F2*3.75*3.67</f>
        <v>67273.301999999996</v>
      </c>
      <c r="G9" s="24">
        <f>G2</f>
        <v>46043.306064814817</v>
      </c>
      <c r="H9" s="25" t="str">
        <f>H2</f>
        <v>2026/01/21 07:20:44 4832.60 4833.00</v>
      </c>
    </row>
    <row r="10" spans="2:8" ht="32.4" x14ac:dyDescent="0.55000000000000004">
      <c r="B10" s="26" t="s">
        <v>10</v>
      </c>
      <c r="C10" s="20">
        <f>[1]!APPLE</f>
        <v>246.44499999999999</v>
      </c>
      <c r="D10" s="21">
        <f>[2]!APPLE</f>
        <v>246.905</v>
      </c>
      <c r="E10" s="23">
        <f>[3]!APPLE</f>
        <v>243.279</v>
      </c>
      <c r="F10" s="22">
        <f>[4]!APPLE</f>
        <v>254.614</v>
      </c>
      <c r="G10" s="24">
        <f>[5]!APPLE</f>
        <v>46042.874988425923</v>
      </c>
      <c r="H10" s="25" t="str">
        <f>[6]!APPLE</f>
        <v>2026/01/20 20:59:59 246.445 246.905</v>
      </c>
    </row>
    <row r="11" spans="2:8" ht="24.6" x14ac:dyDescent="0.4">
      <c r="B11" s="33" t="s">
        <v>22</v>
      </c>
      <c r="C11">
        <f>[1]!USDCAD</f>
        <v>1.3830499999999999</v>
      </c>
      <c r="D11">
        <f>[2]!USDCAD</f>
        <v>1.3832800000000001</v>
      </c>
      <c r="E11" t="str">
        <f>[4]!F11USDCAD</f>
        <v>N\A</v>
      </c>
      <c r="F11">
        <f>[4]!USDCAD</f>
        <v>1.3839600000000001</v>
      </c>
      <c r="G11" s="34">
        <f>[5]!USDCAD</f>
        <v>46043.306064814817</v>
      </c>
      <c r="H11" t="str">
        <f>[6]!USDCAD</f>
        <v>2026/01/21 07:20:44 1.38305 1.38328</v>
      </c>
    </row>
    <row r="12" spans="2:8" ht="24.6" x14ac:dyDescent="0.4">
      <c r="B12" s="33" t="s">
        <v>21</v>
      </c>
      <c r="C12">
        <f>[1]!USDCHF</f>
        <v>0.79129000000000005</v>
      </c>
      <c r="D12">
        <f>[2]!USDCHF</f>
        <v>0.79149000000000003</v>
      </c>
      <c r="E12">
        <f>[3]!USDCHF</f>
        <v>0.78886999999999996</v>
      </c>
      <c r="F12">
        <f>[4]!USDCHF</f>
        <v>0.79178999999999999</v>
      </c>
      <c r="G12">
        <f>[5]!USDCHF</f>
        <v>46043.306006944447</v>
      </c>
      <c r="H12" t="str">
        <f>[6]!USDCHF</f>
        <v>2026/01/21 07:20:39 0.79129 0.79149</v>
      </c>
    </row>
    <row r="13" spans="2:8" ht="24.6" x14ac:dyDescent="0.4">
      <c r="B13" s="33" t="s">
        <v>23</v>
      </c>
      <c r="C13">
        <f>[1]!GBPCHF</f>
        <v>1.06368</v>
      </c>
      <c r="D13">
        <f>[2]!GBPCHF</f>
        <v>1.06412</v>
      </c>
      <c r="E13">
        <f>[3]!GBPCHF</f>
        <v>1.0610200000000001</v>
      </c>
      <c r="F13">
        <f>[4]!GBPCHF</f>
        <v>1.06375</v>
      </c>
      <c r="G13">
        <f>[5]!GBPCHF</f>
        <v>46043.306076388886</v>
      </c>
      <c r="H13" t="str">
        <f>[6]!GBPCHF</f>
        <v>2026/01/21 07:20:45 1.06368 1.06412</v>
      </c>
    </row>
    <row r="14" spans="2:8" ht="32.4" x14ac:dyDescent="0.55000000000000004">
      <c r="B14" s="13" t="s">
        <v>19</v>
      </c>
      <c r="C14" s="28">
        <f>C3*32.1507</f>
        <v>3036.7622177999997</v>
      </c>
      <c r="D14" s="31">
        <f>D3*32.1507</f>
        <v>3038.1446979000002</v>
      </c>
      <c r="E14" s="10">
        <f>E3*32.1507</f>
        <v>3001.1070915</v>
      </c>
      <c r="F14" s="29">
        <f>F3*32.1507</f>
        <v>3071.9993850000001</v>
      </c>
      <c r="G14" s="4">
        <f>[5]!XAGUSD</f>
        <v>46043.306076388886</v>
      </c>
      <c r="H14" s="5" t="str">
        <f>[6]!XAGUSD</f>
        <v>2026/01/21 07:20:45 94.454 94.497</v>
      </c>
    </row>
    <row r="15" spans="2:8" ht="24.6" x14ac:dyDescent="0.4">
      <c r="B15" s="33" t="s">
        <v>20</v>
      </c>
      <c r="C15">
        <f>[1]!AUDUSD</f>
        <v>0.67513999999999996</v>
      </c>
      <c r="D15">
        <f>[2]!AUDUSD</f>
        <v>0.67530000000000001</v>
      </c>
      <c r="E15">
        <f>[3]!AUDUSD</f>
        <v>0.67266999999999999</v>
      </c>
      <c r="F15">
        <f>[4]!AUDUSD</f>
        <v>0.67523</v>
      </c>
      <c r="G15">
        <f>[5]!AUDUSD</f>
        <v>46043.306030092594</v>
      </c>
      <c r="H15" t="str">
        <f>[6]!AUDUSD</f>
        <v>2026/01/21 07:20:41 0.67514 0.67530</v>
      </c>
    </row>
    <row r="16" spans="2:8" ht="24.6" x14ac:dyDescent="0.4">
      <c r="B16" s="33" t="s">
        <v>29</v>
      </c>
      <c r="C16">
        <f>[1]!EURCAD</f>
        <v>1.62066</v>
      </c>
      <c r="D16">
        <f>[2]!EURCAD</f>
        <v>1.6211</v>
      </c>
      <c r="E16">
        <f>[3]!EURCAD</f>
        <v>1.6202399999999999</v>
      </c>
      <c r="F16">
        <f>[4]!EURCAD</f>
        <v>1.6222300000000001</v>
      </c>
      <c r="G16">
        <f>[5]!EURCAD</f>
        <v>46043.306076388886</v>
      </c>
      <c r="H16" t="str">
        <f>[6]!EURCAD</f>
        <v>2026/01/21 07:20:45 1.62066 1.62110</v>
      </c>
    </row>
    <row r="17" spans="1:8" ht="24.6" x14ac:dyDescent="0.4">
      <c r="B17" s="33" t="s">
        <v>28</v>
      </c>
      <c r="C17">
        <f>[1]!EURAUD</f>
        <v>1.7354099999999999</v>
      </c>
      <c r="D17">
        <f>[2]!EURAUD</f>
        <v>1.7357800000000001</v>
      </c>
      <c r="E17">
        <f>[3]!EURAUD</f>
        <v>1.7347999999999999</v>
      </c>
      <c r="F17">
        <f>[4]!EURAUD</f>
        <v>1.7418100000000001</v>
      </c>
      <c r="G17">
        <f>[5]!EURAUD</f>
        <v>46043.306076388886</v>
      </c>
      <c r="H17" t="str">
        <f>[6]!EURAUD</f>
        <v>2026/01/21 07:20:45 1.73541 1.73578</v>
      </c>
    </row>
    <row r="18" spans="1:8" ht="32.4" x14ac:dyDescent="0.55000000000000004">
      <c r="B18" s="12" t="s">
        <v>13</v>
      </c>
      <c r="C18" s="28">
        <f>C2*32.1507/1000*116.64</f>
        <v>18122.528589724803</v>
      </c>
      <c r="D18" s="31">
        <f>D2*32.1507/1000*116.64</f>
        <v>18124.028612784001</v>
      </c>
      <c r="E18" s="10">
        <f>E2*32.1507/1000*116.64</f>
        <v>17889.950014395839</v>
      </c>
      <c r="F18" s="29">
        <f>F2*32.1507/1000*116.64</f>
        <v>18330.881792647677</v>
      </c>
      <c r="G18" s="4">
        <f>[5]!XAUUSD</f>
        <v>46043.306064814817</v>
      </c>
      <c r="H18" s="5" t="str">
        <f>[6]!XAUUSD</f>
        <v>2026/01/21 07:20:44 4832.60 4833.00</v>
      </c>
    </row>
    <row r="19" spans="1:8" ht="24.6" x14ac:dyDescent="0.4">
      <c r="B19" s="33" t="s">
        <v>25</v>
      </c>
      <c r="C19">
        <f>[1]!AUDCAD</f>
        <v>0.93372999999999995</v>
      </c>
      <c r="D19">
        <f>[2]!AUDCAD</f>
        <v>0.93405000000000005</v>
      </c>
      <c r="E19">
        <f>[3]!AUDCAD</f>
        <v>0.93088000000000004</v>
      </c>
      <c r="F19">
        <f>[4]!AUDCAD</f>
        <v>0.93384999999999996</v>
      </c>
      <c r="G19">
        <f>[5]!AUDCAD</f>
        <v>46043.305844907409</v>
      </c>
      <c r="H19" t="str">
        <f>[6]!AUDCAD</f>
        <v>2026/01/21 07:20:25 0.93373 0.93405</v>
      </c>
    </row>
    <row r="20" spans="1:8" ht="32.4" x14ac:dyDescent="0.55000000000000004">
      <c r="B20" s="12" t="s">
        <v>12</v>
      </c>
      <c r="C20" s="28">
        <f>C2*32.1507/1000</f>
        <v>155.37147282000004</v>
      </c>
      <c r="D20" s="31">
        <f>D2*32.1507/1000</f>
        <v>155.38433309999999</v>
      </c>
      <c r="E20" s="10">
        <f>E2*32.1507/1000</f>
        <v>153.377486406</v>
      </c>
      <c r="F20" s="29">
        <f>F2*32.1507/1000</f>
        <v>157.15776571199999</v>
      </c>
      <c r="G20" s="4">
        <f>[5]!XAUUSD</f>
        <v>46043.306064814817</v>
      </c>
      <c r="H20" s="5" t="str">
        <f>[6]!XAUUSD</f>
        <v>2026/01/21 07:20:44 4832.60 4833.00</v>
      </c>
    </row>
    <row r="21" spans="1:8" ht="24.6" x14ac:dyDescent="0.4">
      <c r="B21" s="33" t="s">
        <v>26</v>
      </c>
      <c r="C21">
        <f>[1]!AUDCHF</f>
        <v>0.53420999999999996</v>
      </c>
      <c r="D21">
        <f>[2]!AUDCHF</f>
        <v>0.53449999999999998</v>
      </c>
      <c r="E21">
        <f>[3]!AUDCHF</f>
        <v>0.53144999999999998</v>
      </c>
      <c r="F21">
        <f>[4]!AUDCHF</f>
        <v>0.53447</v>
      </c>
      <c r="G21">
        <f>[5]!AUDCHF</f>
        <v>46043.306064814817</v>
      </c>
      <c r="H21" t="str">
        <f>[6]!AUDCHF</f>
        <v>2026/01/21 07:20:44 0.53421 0.53450</v>
      </c>
    </row>
    <row r="22" spans="1:8" ht="24.6" x14ac:dyDescent="0.4">
      <c r="B22" s="33" t="s">
        <v>27</v>
      </c>
      <c r="C22">
        <f>[1]!AUDNZD</f>
        <v>1.15388</v>
      </c>
      <c r="D22">
        <f>[2]!AUDNZD</f>
        <v>1.1544099999999999</v>
      </c>
      <c r="E22">
        <f>[3]!AUDNZD</f>
        <v>1.1532199999999999</v>
      </c>
      <c r="F22">
        <f>[4]!AUDNZD</f>
        <v>1.15611</v>
      </c>
      <c r="G22">
        <f>[5]!AUDNZD</f>
        <v>46043.305949074071</v>
      </c>
      <c r="H22" t="str">
        <f>[6]!AUDNZD</f>
        <v>2026/01/21 07:20:34 1.15388 1.15441</v>
      </c>
    </row>
    <row r="23" spans="1:8" ht="32.4" x14ac:dyDescent="0.55000000000000004">
      <c r="B23" s="12" t="s">
        <v>15</v>
      </c>
      <c r="C23" s="28">
        <f>C2*32.1507</f>
        <v>155371.47282000002</v>
      </c>
      <c r="D23" s="31">
        <f>D2*32.1507</f>
        <v>155384.33309999999</v>
      </c>
      <c r="E23" s="10">
        <f>E2*32.1507</f>
        <v>153377.48640600001</v>
      </c>
      <c r="F23" s="29">
        <f>F2*32.1507</f>
        <v>157157.76571199999</v>
      </c>
      <c r="G23" s="4">
        <f>[5]!XAUUSD</f>
        <v>46043.306064814817</v>
      </c>
      <c r="H23" s="5" t="str">
        <f>[6]!XAUUSD</f>
        <v>2026/01/21 07:20:44 4832.60 4833.00</v>
      </c>
    </row>
    <row r="24" spans="1:8" ht="32.4" x14ac:dyDescent="0.55000000000000004">
      <c r="B24" s="12" t="s">
        <v>14</v>
      </c>
      <c r="C24" s="28">
        <f>C2*31.99</f>
        <v>154594.87400000001</v>
      </c>
      <c r="D24" s="31">
        <f>D2*31.99</f>
        <v>154607.66999999998</v>
      </c>
      <c r="E24" s="10">
        <f>E2*31.99</f>
        <v>152610.8542</v>
      </c>
      <c r="F24" s="29">
        <f>F2*31.99</f>
        <v>156372.2384</v>
      </c>
      <c r="G24" s="4">
        <f>[5]!XAUUSD</f>
        <v>46043.306064814817</v>
      </c>
      <c r="H24" s="5" t="str">
        <f>[6]!XAUUSD</f>
        <v>2026/01/21 07:20:44 4832.60 4833.00</v>
      </c>
    </row>
    <row r="25" spans="1:8" ht="24.6" x14ac:dyDescent="0.4">
      <c r="A25" s="33"/>
      <c r="B25" s="33" t="s">
        <v>30</v>
      </c>
      <c r="C25">
        <f>[1]!ALIBABA</f>
        <v>162.18199999999999</v>
      </c>
      <c r="D25">
        <f>[2]!ALIBABA</f>
        <v>162.47800000000001</v>
      </c>
      <c r="E25">
        <f>[3]!ALIBABA</f>
        <v>160.78399999999999</v>
      </c>
      <c r="F25">
        <f>[4]!ALIBABA</f>
        <v>165.953</v>
      </c>
      <c r="G25">
        <f>[5]!ALIBABA</f>
        <v>46042.874988425923</v>
      </c>
      <c r="H25" t="str">
        <f>[6]!ALIBABA</f>
        <v>2026/01/20 20:59:59 162.182 162.478</v>
      </c>
    </row>
    <row r="26" spans="1:8" ht="24.6" x14ac:dyDescent="0.4">
      <c r="B26" s="33" t="s">
        <v>31</v>
      </c>
      <c r="C26">
        <f>[1]!'ALPHABET-A'</f>
        <v>321.74099999999999</v>
      </c>
      <c r="D26">
        <f>[2]!'ALPHABET-A'</f>
        <v>322.09100000000001</v>
      </c>
      <c r="E26">
        <f>[3]!'ALPHABET-A'</f>
        <v>317.435</v>
      </c>
      <c r="F26">
        <f>[4]!'ALPHABET-A'</f>
        <v>327.56099999999998</v>
      </c>
      <c r="G26">
        <f>[5]!'ALPHABET-A'</f>
        <v>46042.874988425923</v>
      </c>
      <c r="H26" t="str">
        <f>[6]!'ALPHABET-A'</f>
        <v>2026/01/20 20:59:59 321.741 322.091</v>
      </c>
    </row>
    <row r="27" spans="1:8" ht="24.6" x14ac:dyDescent="0.4">
      <c r="B27" s="33" t="s">
        <v>32</v>
      </c>
      <c r="C27">
        <f>[1]!AMAZON</f>
        <v>230.899</v>
      </c>
      <c r="D27">
        <f>[2]!AMAZON</f>
        <v>231.279</v>
      </c>
      <c r="E27">
        <f>[3]!AMAZON</f>
        <v>229.167</v>
      </c>
      <c r="F27">
        <f>[4]!AMAZON</f>
        <v>234.94300000000001</v>
      </c>
      <c r="G27">
        <f>[5]!AMAZON</f>
        <v>46042.874988425923</v>
      </c>
      <c r="H27" t="str">
        <f>[6]!AMAZON</f>
        <v>2026/01/20 20:59:59 230.899 231.279</v>
      </c>
    </row>
    <row r="28" spans="1:8" ht="24.6" x14ac:dyDescent="0.4">
      <c r="B28" s="33" t="s">
        <v>33</v>
      </c>
      <c r="C28">
        <f>[1]!BOEING</f>
        <v>248.68</v>
      </c>
      <c r="D28">
        <f>[2]!BOEING</f>
        <v>249.09</v>
      </c>
      <c r="E28">
        <f>[3]!BOEING</f>
        <v>242.87</v>
      </c>
      <c r="F28">
        <f>[4]!BOEING</f>
        <v>249.38200000000001</v>
      </c>
      <c r="G28">
        <f>[5]!BOEING</f>
        <v>46042.874988425923</v>
      </c>
      <c r="H28" t="str">
        <f>[6]!BOEING</f>
        <v>2026/01/20 20:59:59 248.680 249.090</v>
      </c>
    </row>
    <row r="29" spans="1:8" ht="24.6" x14ac:dyDescent="0.4">
      <c r="B29" s="33" t="s">
        <v>34</v>
      </c>
      <c r="C29">
        <f>[1]!MICROSOFT</f>
        <v>454.28500000000003</v>
      </c>
      <c r="D29">
        <f>[2]!MICROSOFT</f>
        <v>454.86500000000001</v>
      </c>
      <c r="E29">
        <f>[3]!MICROSOFT</f>
        <v>445.35300000000001</v>
      </c>
      <c r="F29">
        <f>[4]!MICROSOFT</f>
        <v>456.61599999999999</v>
      </c>
      <c r="G29">
        <f>[5]!MICROSOFT</f>
        <v>46042.874988425923</v>
      </c>
      <c r="H29" t="str">
        <f>[6]!MICROSOFT</f>
        <v>2026/01/20 20:59:59 454.285 454.865</v>
      </c>
    </row>
    <row r="30" spans="1:8" ht="24.6" x14ac:dyDescent="0.4">
      <c r="B30" s="33" t="s">
        <v>35</v>
      </c>
      <c r="C30">
        <f>[1]!MODERNA</f>
        <v>42.872999999999998</v>
      </c>
      <c r="D30">
        <f>[2]!MODERNA</f>
        <v>43.137</v>
      </c>
      <c r="E30">
        <f>[3]!MODERNA</f>
        <v>40.781999999999996</v>
      </c>
      <c r="F30">
        <f>[4]!MODERNA</f>
        <v>42.884</v>
      </c>
      <c r="G30">
        <f>[5]!MODERNA</f>
        <v>46042.874988425923</v>
      </c>
      <c r="H30" t="str">
        <f>[6]!MODERNA</f>
        <v>2026/01/20 20:59:59 42.873 43.137</v>
      </c>
    </row>
    <row r="31" spans="1:8" ht="24.6" x14ac:dyDescent="0.4">
      <c r="B31" s="33" t="s">
        <v>36</v>
      </c>
      <c r="C31">
        <f>[1]!NETFLIX</f>
        <v>86.972999999999999</v>
      </c>
      <c r="D31">
        <f>[2]!NETFLIX</f>
        <v>87.263000000000005</v>
      </c>
      <c r="E31">
        <f>[3]!NETFLIX</f>
        <v>86.891999999999996</v>
      </c>
      <c r="F31">
        <f>[4]!NETFLIX</f>
        <v>89.745999999999995</v>
      </c>
      <c r="G31">
        <f>[5]!NETFLIX</f>
        <v>46042.874988425923</v>
      </c>
      <c r="H31" t="str">
        <f>[6]!NETFLIX</f>
        <v>2026/01/20 20:59:59 86.973 87.263</v>
      </c>
    </row>
    <row r="32" spans="1:8" ht="24.6" x14ac:dyDescent="0.4">
      <c r="B32" s="33" t="s">
        <v>37</v>
      </c>
      <c r="C32">
        <f>[1]!NVIDIA</f>
        <v>177.89699999999999</v>
      </c>
      <c r="D32">
        <f>[2]!NVIDIA</f>
        <v>178.18700000000001</v>
      </c>
      <c r="E32">
        <f>[3]!NVIDIA</f>
        <v>177.535</v>
      </c>
      <c r="F32">
        <f>[4]!NVIDIA</f>
        <v>182.17599999999999</v>
      </c>
      <c r="G32">
        <f>[5]!NVIDIA</f>
        <v>46042.874988425923</v>
      </c>
      <c r="H32" t="str">
        <f>[6]!NVIDIA</f>
        <v>2026/01/20 20:59:59 177.897 178.187</v>
      </c>
    </row>
    <row r="33" spans="2:8" ht="24.6" x14ac:dyDescent="0.4">
      <c r="B33" s="33" t="s">
        <v>38</v>
      </c>
      <c r="C33">
        <f>[1]!TESLA</f>
        <v>419.03199999999998</v>
      </c>
      <c r="D33">
        <f>[2]!TESLA</f>
        <v>419.392</v>
      </c>
      <c r="E33">
        <f>[3]!TESLA</f>
        <v>417.29199999999997</v>
      </c>
      <c r="F33">
        <f>[4]!TESLA</f>
        <v>430.17700000000002</v>
      </c>
      <c r="G33">
        <f>[5]!TESLA</f>
        <v>46042.874988425923</v>
      </c>
      <c r="H33" t="str">
        <f>[6]!TESLA</f>
        <v>2026/01/20 20:59:59 419.032 419.392</v>
      </c>
    </row>
    <row r="34" spans="2:8" ht="24.6" x14ac:dyDescent="0.4">
      <c r="B34" s="33" t="s">
        <v>39</v>
      </c>
      <c r="C34">
        <f>[1]!US30.CASH</f>
        <v>48589.16</v>
      </c>
      <c r="D34">
        <f>[2]!US30.CASH</f>
        <v>48591.18</v>
      </c>
      <c r="E34">
        <f>[3]!US30.CASH</f>
        <v>48515.16</v>
      </c>
      <c r="F34">
        <f>[4]!us30.cash</f>
        <v>48605.27</v>
      </c>
      <c r="G34">
        <f>[5]!us30.cash</f>
        <v>46043.306076388886</v>
      </c>
      <c r="H34" t="str">
        <f>[6]!US30.CASH</f>
        <v>2026/01/21 07:20:45 48589.16 48591.18</v>
      </c>
    </row>
    <row r="35" spans="2:8" ht="24.6" x14ac:dyDescent="0.4">
      <c r="B35" s="33" t="s">
        <v>40</v>
      </c>
      <c r="C35">
        <f>[1]!US500.CASH</f>
        <v>6821.93</v>
      </c>
      <c r="D35">
        <f>[2]!US500.CASH</f>
        <v>6822.46</v>
      </c>
      <c r="E35">
        <f>[3]!US500.CASH</f>
        <v>6798.96</v>
      </c>
      <c r="F35">
        <f>[4]!US500.CASH</f>
        <v>6822.42</v>
      </c>
      <c r="G35">
        <f>[5]!US500.CASH</f>
        <v>46043.306076388886</v>
      </c>
      <c r="H35" t="str">
        <f>[6]!US500.CASH</f>
        <v>2026/01/21 07:20:45 6821.93 6822.46</v>
      </c>
    </row>
    <row r="36" spans="2:8" x14ac:dyDescent="0.25">
      <c r="B36" t="s">
        <v>41</v>
      </c>
      <c r="C36">
        <f>[1]!'US500.MAR6'</f>
        <v>6855.61</v>
      </c>
      <c r="D36">
        <f>[2]!'US500.MAR6'</f>
        <v>6856.73</v>
      </c>
      <c r="E36">
        <f>[3]!'US500.MAR6'</f>
        <v>6832.54</v>
      </c>
      <c r="F36">
        <f>[4]!'US500.MAR6'</f>
        <v>6856.08</v>
      </c>
      <c r="G36">
        <f>[5]!'US500.MAR6'</f>
        <v>46043.306076388886</v>
      </c>
      <c r="H36" t="str">
        <f>[6]!'US500.MAR6'</f>
        <v>2026/01/21 07:20:45 6855.61 6856.73</v>
      </c>
    </row>
    <row r="37" spans="2:8" x14ac:dyDescent="0.25">
      <c r="B37" t="s">
        <v>43</v>
      </c>
      <c r="C37">
        <f>[1]!Gold.feb6</f>
        <v>4835.21</v>
      </c>
      <c r="D37">
        <f>[2]!GOLD.FEB6</f>
        <v>4835.68</v>
      </c>
      <c r="E37">
        <f>[3]!Gold.feb6</f>
        <v>4774.3599999999997</v>
      </c>
      <c r="F37">
        <f>[4]!Gold.feb6</f>
        <v>4890.46</v>
      </c>
      <c r="G37">
        <f>[5]!Gold.feb6</f>
        <v>46043.306064814817</v>
      </c>
      <c r="H37" t="str">
        <f>[6]!Gold.feb6</f>
        <v>2026/01/21 07:20:44 4835.21 4835.68</v>
      </c>
    </row>
    <row r="38" spans="2:8" x14ac:dyDescent="0.25">
      <c r="B38" t="s">
        <v>42</v>
      </c>
      <c r="C38">
        <f>[1]!USNDX.MAR6</f>
        <v>25240.77</v>
      </c>
      <c r="D38">
        <f>[2]!USNDX.MAR6</f>
        <v>25243.040000000001</v>
      </c>
      <c r="E38">
        <f>[3]!USNDX.MAR6</f>
        <v>25117.49</v>
      </c>
      <c r="F38">
        <f>[4]!USNDX.MAR6</f>
        <v>25243.42</v>
      </c>
      <c r="G38">
        <f>[5]!USNDX.MAR6</f>
        <v>46043.306064814817</v>
      </c>
      <c r="H38" t="str">
        <f>[6]!USNDX.MAR6</f>
        <v>2026/01/21 07:20:44 25240.77 25243.04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CDE2-79C8-410F-A71B-AA48D1329B0B}">
  <dimension ref="A1"/>
  <sheetViews>
    <sheetView workbookViewId="0"/>
  </sheetViews>
  <sheetFormatPr defaultRowHeight="13.2" x14ac:dyDescent="0.25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D886-05A9-4A73-8C8F-4ED4BA5D04A6}">
  <dimension ref="A1"/>
  <sheetViews>
    <sheetView workbookViewId="0"/>
  </sheetViews>
  <sheetFormatPr defaultRowHeight="13.2" x14ac:dyDescent="0.25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Amkay</dc:creator>
  <cp:lastModifiedBy>muhammed saheel</cp:lastModifiedBy>
  <dcterms:created xsi:type="dcterms:W3CDTF">2019-05-23T09:32:41Z</dcterms:created>
  <dcterms:modified xsi:type="dcterms:W3CDTF">2026-01-21T07:20:47Z</dcterms:modified>
</cp:coreProperties>
</file>